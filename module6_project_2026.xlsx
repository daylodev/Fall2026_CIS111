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dayne\Documents\cis_repo\Fall2026_CIS111\"/>
    </mc:Choice>
  </mc:AlternateContent>
  <xr:revisionPtr revIDLastSave="0" documentId="13_ncr:1_{6CCF83C2-AF5C-4B44-BB04-18754C97B03B}" xr6:coauthVersionLast="47" xr6:coauthVersionMax="47" xr10:uidLastSave="{00000000-0000-0000-0000-000000000000}"/>
  <bookViews>
    <workbookView xWindow="-108" yWindow="-108" windowWidth="23256" windowHeight="13896" activeTab="2" xr2:uid="{F623A0F2-C2CA-8543-A307-789308B4BEAC}"/>
  </bookViews>
  <sheets>
    <sheet name="October 2026" sheetId="8" r:id="rId1"/>
    <sheet name="November 2026" sheetId="7" r:id="rId2"/>
    <sheet name="December 2026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8" l="1"/>
  <c r="D2" i="8"/>
  <c r="D4" i="8" s="1"/>
  <c r="D3" i="7"/>
  <c r="D2" i="7"/>
  <c r="D4" i="7" s="1"/>
  <c r="D3" i="6"/>
  <c r="D2" i="6"/>
  <c r="D4" i="6" l="1"/>
</calcChain>
</file>

<file path=xl/sharedStrings.xml><?xml version="1.0" encoding="utf-8"?>
<sst xmlns="http://schemas.openxmlformats.org/spreadsheetml/2006/main" count="135" uniqueCount="34">
  <si>
    <t>INCOME</t>
  </si>
  <si>
    <t>Category</t>
  </si>
  <si>
    <t>Amount</t>
  </si>
  <si>
    <t>Balance</t>
  </si>
  <si>
    <t>Total Income</t>
  </si>
  <si>
    <t>Total Expenses</t>
  </si>
  <si>
    <t>Type</t>
  </si>
  <si>
    <t>Income</t>
  </si>
  <si>
    <t>Transaction Date</t>
  </si>
  <si>
    <t>Source/ Paid To</t>
  </si>
  <si>
    <t>Wage</t>
  </si>
  <si>
    <t>Paycheck</t>
  </si>
  <si>
    <t>Expense</t>
  </si>
  <si>
    <t>Rent</t>
  </si>
  <si>
    <t>Baby elephant feed</t>
  </si>
  <si>
    <t>Pet</t>
  </si>
  <si>
    <t>Mr Big LLC</t>
  </si>
  <si>
    <t>Baby elephant vet</t>
  </si>
  <si>
    <t>4 Guys Burgers</t>
  </si>
  <si>
    <t>Food</t>
  </si>
  <si>
    <t>Squirrel Stew Cocina</t>
  </si>
  <si>
    <t>Roast Beast</t>
  </si>
  <si>
    <t>Utilities</t>
  </si>
  <si>
    <t>Beeno Gas</t>
  </si>
  <si>
    <t>Static Touch</t>
  </si>
  <si>
    <t>Charity</t>
  </si>
  <si>
    <t>Scarves for Penguins</t>
  </si>
  <si>
    <t>October 2026 Budget</t>
  </si>
  <si>
    <t>Dividend</t>
  </si>
  <si>
    <t>Big Money Stock</t>
  </si>
  <si>
    <t>Side Hustle</t>
  </si>
  <si>
    <t>Pocket Picker</t>
  </si>
  <si>
    <t>December 2026 Budget</t>
  </si>
  <si>
    <t>November 2026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</si>
</sst>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2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2"/>
      <color theme="1"/>
      <name val="Century Gothic"/>
      <family val="2"/>
      <scheme val="minor"/>
    </font>
    <font>
      <b/>
      <sz val="12"/>
      <color theme="1"/>
      <name val="Century Gothic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44" fontId="2" fillId="0" borderId="0" applyFont="0" applyFill="0" applyBorder="0" applyAlignment="0" applyProtection="0"/>
  </cellStyleXfs>
  <cellXfs count="7">
    <xf numFmtId="0" fontId="0" fillId="0" borderId="0" xfId="0"/>
    <xf numFmtId="44" fontId="0" fillId="0" borderId="0" xfId="2" applyFont="1"/>
    <xf numFmtId="14" fontId="0" fillId="0" borderId="0" xfId="0" applyNumberFormat="1"/>
    <xf numFmtId="49" fontId="0" fillId="0" borderId="0" xfId="0" applyNumberFormat="1"/>
    <xf numFmtId="44" fontId="0" fillId="0" borderId="0" xfId="0" applyNumberFormat="1"/>
    <xf numFmtId="0" fontId="3" fillId="3" borderId="0" xfId="1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</cellXfs>
  <cellStyles count="3">
    <cellStyle name="20% - Accent6" xfId="1" builtinId="50"/>
    <cellStyle name="Currency" xfId="2" builtinId="4"/>
    <cellStyle name="Normal" xfId="0" builtinId="0"/>
  </cellStyles>
  <dxfs count="24"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B88F2F8-7639-44BC-82BB-E84DB38FCC54}" name="Income_Oct" displayName="Income_Oct" ref="A7:E11" totalsRowShown="0">
  <autoFilter ref="A7:E11" xr:uid="{4BD898CE-86A6-4CCB-8456-229993C58FA4}"/>
  <sortState xmlns:xlrd2="http://schemas.microsoft.com/office/spreadsheetml/2017/richdata2" ref="A8:E11">
    <sortCondition ref="A7:A11"/>
  </sortState>
  <tableColumns count="5">
    <tableColumn id="1" xr3:uid="{91BADC82-9732-49FC-8208-1410A7D23F70}" name="Transaction Date" dataDxfId="23"/>
    <tableColumn id="2" xr3:uid="{0F8F4532-F571-44D6-BC75-15C0EF183BD6}" name="Type" dataDxfId="22"/>
    <tableColumn id="3" xr3:uid="{B0D9BFB4-6E01-465D-B706-BFAD34E01FCA}" name="Source/ Paid To" dataDxfId="21"/>
    <tableColumn id="4" xr3:uid="{FF00CEA3-6795-46D3-B04A-32667B39579F}" name="Category" dataDxfId="20"/>
    <tableColumn id="5" xr3:uid="{25E585AD-6BD1-4A6F-A6AB-2BBB78076FE9}" name="Amount" dataCellStyle="Currenc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64A14D7-9727-4B59-A51B-CBDA7E1DCF75}" name="Expense_Oct" displayName="Expense_Oct" ref="G7:K12" totalsRowShown="0">
  <autoFilter ref="G7:K12" xr:uid="{B7D41585-E79F-4964-888B-0E72C376E641}"/>
  <sortState xmlns:xlrd2="http://schemas.microsoft.com/office/spreadsheetml/2017/richdata2" ref="G8:K12">
    <sortCondition ref="G7:G12"/>
  </sortState>
  <tableColumns count="5">
    <tableColumn id="1" xr3:uid="{58375FA5-22BC-487F-B58B-58F64C791EFB}" name="Transaction Date" dataDxfId="19"/>
    <tableColumn id="2" xr3:uid="{30E29FCF-0634-4B6C-9DF3-C15CC8D6C08B}" name="Type" dataDxfId="18"/>
    <tableColumn id="3" xr3:uid="{08C0F476-20CE-4103-8942-EBC0D6B28FDF}" name="Source/ Paid To" dataDxfId="17"/>
    <tableColumn id="4" xr3:uid="{6847AC6D-A002-4E89-AB3E-0EE33464B2E8}" name="Category" dataDxfId="16"/>
    <tableColumn id="5" xr3:uid="{42068790-1C40-4097-A5C3-AA4683615232}" name="Amount" dataCellStyle="Currenc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C125E4B-473C-4563-B646-EB1A3F8074D1}" name="Income_Nov" displayName="Income_Nov" ref="A7:E11" totalsRowShown="0">
  <autoFilter ref="A7:E11" xr:uid="{4BD898CE-86A6-4CCB-8456-229993C58FA4}"/>
  <sortState xmlns:xlrd2="http://schemas.microsoft.com/office/spreadsheetml/2017/richdata2" ref="A8:E11">
    <sortCondition ref="A7:A11"/>
  </sortState>
  <tableColumns count="5">
    <tableColumn id="1" xr3:uid="{F3F2E841-1B53-4A17-B92F-C6CAC359076F}" name="Transaction Date" dataDxfId="15"/>
    <tableColumn id="2" xr3:uid="{65B0B833-BE9A-44E8-BFF5-A7450682D0FA}" name="Type" dataDxfId="14"/>
    <tableColumn id="3" xr3:uid="{1B7B5010-510B-4AAD-9954-5A231249B843}" name="Source/ Paid To" dataDxfId="13"/>
    <tableColumn id="4" xr3:uid="{A67C4D42-0D47-436C-A817-B00AFAA3EFB7}" name="Category" dataDxfId="12"/>
    <tableColumn id="5" xr3:uid="{CF82D1F3-94B3-46F9-80DE-284E65AF04AE}" name="Amount" dataCellStyle="Currenc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171BD7F-8410-49CE-801D-59A13E386229}" name="Expense_Nov" displayName="Expense_Nov" ref="G7:K13" totalsRowShown="0">
  <autoFilter ref="G7:K13" xr:uid="{B7D41585-E79F-4964-888B-0E72C376E641}"/>
  <sortState xmlns:xlrd2="http://schemas.microsoft.com/office/spreadsheetml/2017/richdata2" ref="G8:K13">
    <sortCondition ref="G7:G13"/>
  </sortState>
  <tableColumns count="5">
    <tableColumn id="1" xr3:uid="{5E1D06A1-2CB8-497E-9A06-1D52341F604F}" name="Transaction Date" dataDxfId="11"/>
    <tableColumn id="2" xr3:uid="{E289A1C7-28C7-4D2A-AE1E-568B1CF05BBA}" name="Type" dataDxfId="10"/>
    <tableColumn id="3" xr3:uid="{D8B35C74-BBDF-4209-A181-966CD96B630C}" name="Source/ Paid To" dataDxfId="9"/>
    <tableColumn id="4" xr3:uid="{4B769385-7DB5-42C6-90AD-7B59B94BB9F9}" name="Category" dataDxfId="8"/>
    <tableColumn id="5" xr3:uid="{29D08874-5EAE-4AEF-A73C-B8735CC5E172}" name="Amount" dataCellStyle="Currenc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6A811B1-5B6A-4804-95A9-E24E1FEFB488}" name="Income_Dec" displayName="Income_Dec" ref="A7:E11" totalsRowShown="0">
  <autoFilter ref="A7:E11" xr:uid="{4BD898CE-86A6-4CCB-8456-229993C58FA4}"/>
  <sortState xmlns:xlrd2="http://schemas.microsoft.com/office/spreadsheetml/2017/richdata2" ref="A8:E11">
    <sortCondition ref="A7:A11"/>
  </sortState>
  <tableColumns count="5">
    <tableColumn id="1" xr3:uid="{4AFB26B5-3C17-4553-8924-A1A6C21914DC}" name="Transaction Date" dataDxfId="7"/>
    <tableColumn id="2" xr3:uid="{A705F39B-9F7E-4458-8DCE-B24D70370C7A}" name="Type" dataDxfId="6"/>
    <tableColumn id="3" xr3:uid="{726814BD-4471-48C8-99FC-6DA95DDAC585}" name="Source/ Paid To" dataDxfId="5"/>
    <tableColumn id="4" xr3:uid="{1AC1E18A-67C3-4F00-AC88-129F1A3C95B1}" name="Category" dataDxfId="4"/>
    <tableColumn id="5" xr3:uid="{EFF3DEA8-141B-4F84-92B9-362E77946445}" name="Amount" dataCellStyle="Currenc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7D41585-E79F-4964-888B-0E72C376E641}" name="Expense_Dec" displayName="Expense_Dec" ref="G7:K13" totalsRowShown="0">
  <autoFilter ref="G7:K13" xr:uid="{B7D41585-E79F-4964-888B-0E72C376E641}"/>
  <sortState xmlns:xlrd2="http://schemas.microsoft.com/office/spreadsheetml/2017/richdata2" ref="G8:K13">
    <sortCondition ref="G7:G13"/>
  </sortState>
  <tableColumns count="5">
    <tableColumn id="1" xr3:uid="{96431301-5FF9-46CD-9056-0C1EB4C91C7C}" name="Transaction Date" dataDxfId="3"/>
    <tableColumn id="2" xr3:uid="{C9A24EF4-35FD-4517-BB3E-286989F7420D}" name="Type" dataDxfId="2"/>
    <tableColumn id="3" xr3:uid="{4D05434A-8956-49CB-8D20-084CEF3A97AD}" name="Source/ Paid To" dataDxfId="1"/>
    <tableColumn id="4" xr3:uid="{A37C3762-2AC5-4672-9712-603C9D0CC428}" name="Category" dataDxfId="0"/>
    <tableColumn id="5" xr3:uid="{BA5C884E-60E4-43F8-8E8D-F58D8EE4A84E}" name="Amount" dataCellStyle="Currency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Savon">
  <a:themeElements>
    <a:clrScheme name="Savon">
      <a:dk1>
        <a:sysClr val="windowText" lastClr="000000"/>
      </a:dk1>
      <a:lt1>
        <a:sysClr val="window" lastClr="FFFFFF"/>
      </a:lt1>
      <a:dk2>
        <a:srgbClr val="1485A4"/>
      </a:dk2>
      <a:lt2>
        <a:srgbClr val="E3DED1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F49100"/>
      </a:hlink>
      <a:folHlink>
        <a:srgbClr val="739D9B"/>
      </a:folHlink>
    </a:clrScheme>
    <a:fontScheme name="Savon">
      <a:maj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Savo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5000"/>
                <a:lumMod val="105000"/>
              </a:schemeClr>
            </a:gs>
            <a:gs pos="100000">
              <a:schemeClr val="phClr">
                <a:tint val="65000"/>
                <a:satMod val="100000"/>
                <a:lumMod val="10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0000"/>
                <a:lumMod val="100000"/>
              </a:schemeClr>
            </a:gs>
            <a:gs pos="50000">
              <a:schemeClr val="phClr">
                <a:shade val="99000"/>
                <a:satMod val="105000"/>
                <a:lumMod val="100000"/>
              </a:schemeClr>
            </a:gs>
            <a:gs pos="100000">
              <a:schemeClr val="phClr">
                <a:shade val="98000"/>
                <a:satMod val="105000"/>
                <a:lumMod val="100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12700" dir="5400000" algn="ctr" rotWithShape="0">
              <a:srgbClr val="000000">
                <a:alpha val="63000"/>
              </a:srgbClr>
            </a:outerShdw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l">
              <a:rot lat="0" lon="0" rev="4200000"/>
            </a:lightRig>
          </a:scene3d>
          <a:sp3d prstMaterial="flat">
            <a:bevelT w="50800" h="63500" prst="riblet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shade val="92000"/>
                <a:satMod val="160000"/>
              </a:schemeClr>
            </a:gs>
            <a:gs pos="77000">
              <a:schemeClr val="phClr">
                <a:tint val="100000"/>
                <a:shade val="73000"/>
                <a:satMod val="155000"/>
              </a:schemeClr>
            </a:gs>
            <a:gs pos="100000">
              <a:schemeClr val="phClr">
                <a:tint val="100000"/>
                <a:shade val="67000"/>
                <a:satMod val="145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tint val="95000"/>
              </a:schemeClr>
              <a:schemeClr val="phClr">
                <a:shade val="92000"/>
                <a:satMod val="115000"/>
              </a:schemeClr>
            </a:duotone>
          </a:blip>
          <a:tile tx="0" ty="0" sx="60000" sy="6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avon" id="{1306E473-ED32-493B-A2D0-240A757EDD34}" vid="{C20BADFE-D095-436F-9677-9264042809F0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7E46B-3152-45BE-B303-88DA9D98F731}">
  <dimension ref="A1:K12"/>
  <sheetViews>
    <sheetView zoomScale="120" zoomScaleNormal="150" workbookViewId="0">
      <selection activeCell="D16" sqref="D16"/>
    </sheetView>
  </sheetViews>
  <sheetFormatPr defaultColWidth="16.36328125" defaultRowHeight="15" x14ac:dyDescent="0.25"/>
  <cols>
    <col min="1" max="1" width="17.453125" style="2" bestFit="1" customWidth="1"/>
    <col min="2" max="2" width="7.6328125" bestFit="1" customWidth="1"/>
    <col min="3" max="3" width="16.453125" bestFit="1" customWidth="1"/>
    <col min="4" max="4" width="11.08984375" bestFit="1" customWidth="1"/>
    <col min="5" max="5" width="10.453125" bestFit="1" customWidth="1"/>
    <col min="6" max="6" width="4.7265625" customWidth="1"/>
    <col min="7" max="7" width="17.453125" bestFit="1" customWidth="1"/>
    <col min="8" max="8" width="8.1796875" bestFit="1" customWidth="1"/>
    <col min="9" max="9" width="19" bestFit="1" customWidth="1"/>
    <col min="10" max="10" width="11" bestFit="1" customWidth="1"/>
    <col min="11" max="11" width="11.08984375" bestFit="1" customWidth="1"/>
  </cols>
  <sheetData>
    <row r="1" spans="1:11" ht="19.95" customHeight="1" x14ac:dyDescent="0.25">
      <c r="A1" s="5" t="s">
        <v>27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x14ac:dyDescent="0.25">
      <c r="C2" t="s">
        <v>4</v>
      </c>
      <c r="D2" s="4">
        <f>SUM(Income_Oct[Amount])</f>
        <v>4055</v>
      </c>
    </row>
    <row r="3" spans="1:11" x14ac:dyDescent="0.25">
      <c r="C3" t="s">
        <v>5</v>
      </c>
      <c r="D3" s="4">
        <f>SUM(Expense_Oct[Amount])</f>
        <v>-2650</v>
      </c>
    </row>
    <row r="4" spans="1:11" x14ac:dyDescent="0.25">
      <c r="C4" t="s">
        <v>3</v>
      </c>
      <c r="D4" s="4">
        <f>SUM(D2:D3)</f>
        <v>1405</v>
      </c>
    </row>
    <row r="6" spans="1:11" x14ac:dyDescent="0.25">
      <c r="A6" s="6" t="s">
        <v>0</v>
      </c>
      <c r="B6" s="6"/>
      <c r="C6" s="6"/>
      <c r="D6" s="6"/>
      <c r="E6" s="6"/>
      <c r="G6" s="6" t="s">
        <v>12</v>
      </c>
      <c r="H6" s="6"/>
      <c r="I6" s="6"/>
      <c r="J6" s="6"/>
      <c r="K6" s="6"/>
    </row>
    <row r="7" spans="1:11" x14ac:dyDescent="0.25">
      <c r="A7" s="2" t="s">
        <v>8</v>
      </c>
      <c r="B7" t="s">
        <v>6</v>
      </c>
      <c r="C7" t="s">
        <v>9</v>
      </c>
      <c r="D7" t="s">
        <v>1</v>
      </c>
      <c r="E7" t="s">
        <v>2</v>
      </c>
      <c r="G7" s="2" t="s">
        <v>8</v>
      </c>
      <c r="H7" t="s">
        <v>6</v>
      </c>
      <c r="I7" t="s">
        <v>9</v>
      </c>
      <c r="J7" t="s">
        <v>1</v>
      </c>
      <c r="K7" t="s">
        <v>2</v>
      </c>
    </row>
    <row r="8" spans="1:11" x14ac:dyDescent="0.25">
      <c r="A8" s="2">
        <v>46296</v>
      </c>
      <c r="B8" s="3" t="s">
        <v>7</v>
      </c>
      <c r="C8" s="3" t="s">
        <v>11</v>
      </c>
      <c r="D8" s="3" t="s">
        <v>10</v>
      </c>
      <c r="E8" s="1">
        <v>2000</v>
      </c>
      <c r="G8" s="2">
        <v>46296</v>
      </c>
      <c r="H8" s="3" t="s">
        <v>12</v>
      </c>
      <c r="I8" s="3" t="s">
        <v>16</v>
      </c>
      <c r="J8" s="3" t="s">
        <v>13</v>
      </c>
      <c r="K8" s="1">
        <v>-1500</v>
      </c>
    </row>
    <row r="9" spans="1:11" x14ac:dyDescent="0.25">
      <c r="A9" s="2">
        <v>46310</v>
      </c>
      <c r="B9" s="3" t="s">
        <v>7</v>
      </c>
      <c r="C9" s="3" t="s">
        <v>11</v>
      </c>
      <c r="D9" s="3" t="s">
        <v>10</v>
      </c>
      <c r="E9" s="1">
        <v>2000</v>
      </c>
      <c r="G9" s="2">
        <v>46297</v>
      </c>
      <c r="H9" s="3" t="s">
        <v>12</v>
      </c>
      <c r="I9" s="3" t="s">
        <v>14</v>
      </c>
      <c r="J9" s="3" t="s">
        <v>15</v>
      </c>
      <c r="K9" s="1">
        <v>-500</v>
      </c>
    </row>
    <row r="10" spans="1:11" x14ac:dyDescent="0.25">
      <c r="A10" s="2">
        <v>46323</v>
      </c>
      <c r="B10" s="3" t="s">
        <v>7</v>
      </c>
      <c r="C10" s="3" t="s">
        <v>29</v>
      </c>
      <c r="D10" s="3" t="s">
        <v>28</v>
      </c>
      <c r="E10" s="1">
        <v>45</v>
      </c>
      <c r="G10" s="2">
        <v>46304</v>
      </c>
      <c r="H10" s="3" t="s">
        <v>12</v>
      </c>
      <c r="I10" s="3" t="s">
        <v>23</v>
      </c>
      <c r="J10" s="3" t="s">
        <v>22</v>
      </c>
      <c r="K10" s="1">
        <v>-150</v>
      </c>
    </row>
    <row r="11" spans="1:11" x14ac:dyDescent="0.25">
      <c r="A11" s="2">
        <v>46326</v>
      </c>
      <c r="B11" s="3" t="s">
        <v>7</v>
      </c>
      <c r="C11" s="3" t="s">
        <v>31</v>
      </c>
      <c r="D11" s="3" t="s">
        <v>30</v>
      </c>
      <c r="E11" s="1">
        <v>10</v>
      </c>
      <c r="G11" s="2">
        <v>46305</v>
      </c>
      <c r="H11" s="3" t="s">
        <v>12</v>
      </c>
      <c r="I11" s="3" t="s">
        <v>18</v>
      </c>
      <c r="J11" s="3" t="s">
        <v>19</v>
      </c>
      <c r="K11" s="1">
        <v>-150</v>
      </c>
    </row>
    <row r="12" spans="1:11" x14ac:dyDescent="0.25">
      <c r="G12" s="2">
        <v>46306</v>
      </c>
      <c r="H12" s="3" t="s">
        <v>12</v>
      </c>
      <c r="I12" s="3" t="s">
        <v>24</v>
      </c>
      <c r="J12" s="3" t="s">
        <v>22</v>
      </c>
      <c r="K12" s="1">
        <v>-350</v>
      </c>
    </row>
  </sheetData>
  <mergeCells count="3">
    <mergeCell ref="A1:K1"/>
    <mergeCell ref="A6:E6"/>
    <mergeCell ref="G6:K6"/>
  </mergeCells>
  <pageMargins left="0.25" right="0.25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C4EEF-A995-4DCA-AA3F-0304F638475C}">
  <dimension ref="A1:K13"/>
  <sheetViews>
    <sheetView zoomScale="120" zoomScaleNormal="150" workbookViewId="0">
      <selection activeCell="D21" sqref="D21"/>
    </sheetView>
  </sheetViews>
  <sheetFormatPr defaultColWidth="16.36328125" defaultRowHeight="15" x14ac:dyDescent="0.25"/>
  <cols>
    <col min="1" max="1" width="17.453125" style="2" bestFit="1" customWidth="1"/>
    <col min="2" max="2" width="7.6328125" bestFit="1" customWidth="1"/>
    <col min="3" max="3" width="16.453125" bestFit="1" customWidth="1"/>
    <col min="4" max="4" width="12.1796875" bestFit="1" customWidth="1"/>
    <col min="5" max="5" width="10.453125" bestFit="1" customWidth="1"/>
    <col min="6" max="6" width="4.7265625" customWidth="1"/>
    <col min="7" max="7" width="17.453125" bestFit="1" customWidth="1"/>
    <col min="8" max="8" width="8.1796875" bestFit="1" customWidth="1"/>
    <col min="9" max="9" width="19.1796875" bestFit="1" customWidth="1"/>
    <col min="10" max="10" width="11" bestFit="1" customWidth="1"/>
    <col min="11" max="11" width="12.1796875" bestFit="1" customWidth="1"/>
  </cols>
  <sheetData>
    <row r="1" spans="1:11" ht="19.95" customHeight="1" x14ac:dyDescent="0.25">
      <c r="A1" s="5" t="s">
        <v>33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x14ac:dyDescent="0.25">
      <c r="C2" t="s">
        <v>4</v>
      </c>
      <c r="D2" s="4">
        <f>SUM(Income_Nov[Amount])</f>
        <v>4065</v>
      </c>
    </row>
    <row r="3" spans="1:11" x14ac:dyDescent="0.25">
      <c r="C3" t="s">
        <v>5</v>
      </c>
      <c r="D3" s="4">
        <f>SUM(Expense_Nov[Amount])</f>
        <v>-17675</v>
      </c>
    </row>
    <row r="4" spans="1:11" x14ac:dyDescent="0.25">
      <c r="C4" t="s">
        <v>3</v>
      </c>
      <c r="D4" s="4">
        <f>SUM(D2:D3)</f>
        <v>-13610</v>
      </c>
    </row>
    <row r="6" spans="1:11" x14ac:dyDescent="0.25">
      <c r="A6" s="6" t="s">
        <v>0</v>
      </c>
      <c r="B6" s="6"/>
      <c r="C6" s="6"/>
      <c r="D6" s="6"/>
      <c r="E6" s="6"/>
      <c r="G6" s="6" t="s">
        <v>12</v>
      </c>
      <c r="H6" s="6"/>
      <c r="I6" s="6"/>
      <c r="J6" s="6"/>
      <c r="K6" s="6"/>
    </row>
    <row r="7" spans="1:11" x14ac:dyDescent="0.25">
      <c r="A7" s="2" t="s">
        <v>8</v>
      </c>
      <c r="B7" t="s">
        <v>6</v>
      </c>
      <c r="C7" t="s">
        <v>9</v>
      </c>
      <c r="D7" t="s">
        <v>1</v>
      </c>
      <c r="E7" t="s">
        <v>2</v>
      </c>
      <c r="G7" s="2" t="s">
        <v>8</v>
      </c>
      <c r="H7" t="s">
        <v>6</v>
      </c>
      <c r="I7" t="s">
        <v>9</v>
      </c>
      <c r="J7" t="s">
        <v>1</v>
      </c>
      <c r="K7" t="s">
        <v>2</v>
      </c>
    </row>
    <row r="8" spans="1:11" x14ac:dyDescent="0.25">
      <c r="A8" s="2">
        <v>46327</v>
      </c>
      <c r="B8" s="3" t="s">
        <v>7</v>
      </c>
      <c r="C8" s="3" t="s">
        <v>11</v>
      </c>
      <c r="D8" s="3" t="s">
        <v>10</v>
      </c>
      <c r="E8" s="1">
        <v>2000</v>
      </c>
      <c r="G8" s="2">
        <v>46327</v>
      </c>
      <c r="H8" s="3" t="s">
        <v>12</v>
      </c>
      <c r="I8" s="3" t="s">
        <v>16</v>
      </c>
      <c r="J8" s="3" t="s">
        <v>13</v>
      </c>
      <c r="K8" s="1">
        <v>-1500</v>
      </c>
    </row>
    <row r="9" spans="1:11" x14ac:dyDescent="0.25">
      <c r="A9" s="2">
        <v>46341</v>
      </c>
      <c r="B9" s="3" t="s">
        <v>7</v>
      </c>
      <c r="C9" s="3" t="s">
        <v>11</v>
      </c>
      <c r="D9" s="3" t="s">
        <v>10</v>
      </c>
      <c r="E9" s="1">
        <v>2000</v>
      </c>
      <c r="G9" s="2">
        <v>46328</v>
      </c>
      <c r="H9" s="3" t="s">
        <v>12</v>
      </c>
      <c r="I9" s="3" t="s">
        <v>14</v>
      </c>
      <c r="J9" s="3" t="s">
        <v>15</v>
      </c>
      <c r="K9" s="1">
        <v>-500</v>
      </c>
    </row>
    <row r="10" spans="1:11" x14ac:dyDescent="0.25">
      <c r="A10" s="2">
        <v>46354</v>
      </c>
      <c r="B10" s="3" t="s">
        <v>7</v>
      </c>
      <c r="C10" s="3" t="s">
        <v>29</v>
      </c>
      <c r="D10" s="3" t="s">
        <v>28</v>
      </c>
      <c r="E10" s="1">
        <v>45</v>
      </c>
      <c r="G10" s="2">
        <v>46335</v>
      </c>
      <c r="H10" s="3" t="s">
        <v>12</v>
      </c>
      <c r="I10" s="3" t="s">
        <v>23</v>
      </c>
      <c r="J10" s="3" t="s">
        <v>22</v>
      </c>
      <c r="K10" s="1">
        <v>-250</v>
      </c>
    </row>
    <row r="11" spans="1:11" x14ac:dyDescent="0.25">
      <c r="A11" s="2">
        <v>46356</v>
      </c>
      <c r="B11" s="3" t="s">
        <v>7</v>
      </c>
      <c r="C11" s="3" t="s">
        <v>31</v>
      </c>
      <c r="D11" s="3" t="s">
        <v>30</v>
      </c>
      <c r="E11" s="1">
        <v>20</v>
      </c>
      <c r="G11" s="2">
        <v>46337</v>
      </c>
      <c r="H11" s="3" t="s">
        <v>12</v>
      </c>
      <c r="I11" s="3" t="s">
        <v>24</v>
      </c>
      <c r="J11" s="3" t="s">
        <v>22</v>
      </c>
      <c r="K11" s="1">
        <v>-250</v>
      </c>
    </row>
    <row r="12" spans="1:11" x14ac:dyDescent="0.25">
      <c r="G12" s="2">
        <v>46343</v>
      </c>
      <c r="H12" s="3" t="s">
        <v>12</v>
      </c>
      <c r="I12" s="3" t="s">
        <v>17</v>
      </c>
      <c r="J12" s="3" t="s">
        <v>15</v>
      </c>
      <c r="K12" s="1">
        <v>-15000</v>
      </c>
    </row>
    <row r="13" spans="1:11" x14ac:dyDescent="0.25">
      <c r="G13" s="2">
        <v>46345</v>
      </c>
      <c r="H13" s="3" t="s">
        <v>12</v>
      </c>
      <c r="I13" s="3" t="s">
        <v>20</v>
      </c>
      <c r="J13" s="3" t="s">
        <v>19</v>
      </c>
      <c r="K13" s="1">
        <v>-175</v>
      </c>
    </row>
  </sheetData>
  <mergeCells count="3">
    <mergeCell ref="A1:K1"/>
    <mergeCell ref="A6:E6"/>
    <mergeCell ref="G6:K6"/>
  </mergeCells>
  <pageMargins left="0.25" right="0.25" top="0.75" bottom="0.75" header="0.3" footer="0.3"/>
  <pageSetup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4001D-1357-4028-B3D4-0D27518B50AF}">
  <dimension ref="A1:K13"/>
  <sheetViews>
    <sheetView tabSelected="1" zoomScale="120" zoomScaleNormal="150" workbookViewId="0">
      <selection activeCell="D20" sqref="D20"/>
    </sheetView>
  </sheetViews>
  <sheetFormatPr defaultColWidth="16.36328125" defaultRowHeight="15" x14ac:dyDescent="0.25"/>
  <cols>
    <col min="1" max="1" width="17.453125" style="2" bestFit="1" customWidth="1"/>
    <col min="2" max="2" width="7.6328125" bestFit="1" customWidth="1"/>
    <col min="3" max="3" width="16.453125" bestFit="1" customWidth="1"/>
    <col min="4" max="4" width="11.08984375" bestFit="1" customWidth="1"/>
    <col min="5" max="5" width="10.453125" bestFit="1" customWidth="1"/>
    <col min="6" max="6" width="4.7265625" customWidth="1"/>
    <col min="7" max="7" width="17.453125" bestFit="1" customWidth="1"/>
    <col min="8" max="8" width="8.1796875" bestFit="1" customWidth="1"/>
    <col min="9" max="9" width="19.08984375" bestFit="1" customWidth="1"/>
    <col min="10" max="10" width="11" bestFit="1" customWidth="1"/>
    <col min="11" max="11" width="11.08984375" bestFit="1" customWidth="1"/>
  </cols>
  <sheetData>
    <row r="1" spans="1:11" ht="19.95" customHeight="1" x14ac:dyDescent="0.25">
      <c r="A1" s="5" t="s">
        <v>32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x14ac:dyDescent="0.25">
      <c r="C2" t="s">
        <v>4</v>
      </c>
      <c r="D2" s="4">
        <f>SUM(Income_Dec[Amount])</f>
        <v>4053</v>
      </c>
    </row>
    <row r="3" spans="1:11" x14ac:dyDescent="0.25">
      <c r="C3" t="s">
        <v>5</v>
      </c>
      <c r="D3" s="4">
        <f>SUM(Expense_Dec[Amount])</f>
        <v>-4053</v>
      </c>
    </row>
    <row r="4" spans="1:11" x14ac:dyDescent="0.25">
      <c r="C4" t="s">
        <v>3</v>
      </c>
      <c r="D4" s="4">
        <f>SUM(D2:D3)</f>
        <v>0</v>
      </c>
    </row>
    <row r="6" spans="1:11" x14ac:dyDescent="0.25">
      <c r="A6" s="6" t="s">
        <v>0</v>
      </c>
      <c r="B6" s="6"/>
      <c r="C6" s="6"/>
      <c r="D6" s="6"/>
      <c r="E6" s="6"/>
      <c r="G6" s="6" t="s">
        <v>12</v>
      </c>
      <c r="H6" s="6"/>
      <c r="I6" s="6"/>
      <c r="J6" s="6"/>
      <c r="K6" s="6"/>
    </row>
    <row r="7" spans="1:11" x14ac:dyDescent="0.25">
      <c r="A7" s="2" t="s">
        <v>8</v>
      </c>
      <c r="B7" t="s">
        <v>6</v>
      </c>
      <c r="C7" t="s">
        <v>9</v>
      </c>
      <c r="D7" t="s">
        <v>1</v>
      </c>
      <c r="E7" t="s">
        <v>2</v>
      </c>
      <c r="G7" s="2" t="s">
        <v>8</v>
      </c>
      <c r="H7" t="s">
        <v>6</v>
      </c>
      <c r="I7" t="s">
        <v>9</v>
      </c>
      <c r="J7" t="s">
        <v>1</v>
      </c>
      <c r="K7" t="s">
        <v>2</v>
      </c>
    </row>
    <row r="8" spans="1:11" x14ac:dyDescent="0.25">
      <c r="A8" s="2">
        <v>46357</v>
      </c>
      <c r="B8" s="3" t="s">
        <v>7</v>
      </c>
      <c r="C8" s="3" t="s">
        <v>11</v>
      </c>
      <c r="D8" s="3" t="s">
        <v>10</v>
      </c>
      <c r="E8" s="1">
        <v>2000</v>
      </c>
      <c r="G8" s="2">
        <v>46357</v>
      </c>
      <c r="H8" s="3" t="s">
        <v>12</v>
      </c>
      <c r="I8" s="3" t="s">
        <v>16</v>
      </c>
      <c r="J8" s="3" t="s">
        <v>13</v>
      </c>
      <c r="K8" s="1">
        <v>-1500</v>
      </c>
    </row>
    <row r="9" spans="1:11" x14ac:dyDescent="0.25">
      <c r="A9" s="2">
        <v>46371</v>
      </c>
      <c r="B9" s="3" t="s">
        <v>7</v>
      </c>
      <c r="C9" s="3" t="s">
        <v>11</v>
      </c>
      <c r="D9" s="3" t="s">
        <v>10</v>
      </c>
      <c r="E9" s="1">
        <v>2000</v>
      </c>
      <c r="G9" s="2">
        <v>46358</v>
      </c>
      <c r="H9" s="3" t="s">
        <v>12</v>
      </c>
      <c r="I9" s="3" t="s">
        <v>14</v>
      </c>
      <c r="J9" s="3" t="s">
        <v>15</v>
      </c>
      <c r="K9" s="1">
        <v>-500</v>
      </c>
    </row>
    <row r="10" spans="1:11" x14ac:dyDescent="0.25">
      <c r="A10" s="2">
        <v>46384</v>
      </c>
      <c r="B10" s="3" t="s">
        <v>7</v>
      </c>
      <c r="C10" s="3" t="s">
        <v>29</v>
      </c>
      <c r="D10" s="3" t="s">
        <v>28</v>
      </c>
      <c r="E10" s="1">
        <v>45</v>
      </c>
      <c r="G10" s="2">
        <v>46365</v>
      </c>
      <c r="H10" s="3" t="s">
        <v>12</v>
      </c>
      <c r="I10" s="3" t="s">
        <v>23</v>
      </c>
      <c r="J10" s="3" t="s">
        <v>22</v>
      </c>
      <c r="K10" s="1">
        <v>-350</v>
      </c>
    </row>
    <row r="11" spans="1:11" x14ac:dyDescent="0.25">
      <c r="A11" s="2">
        <v>46387</v>
      </c>
      <c r="B11" s="3" t="s">
        <v>7</v>
      </c>
      <c r="C11" s="3" t="s">
        <v>31</v>
      </c>
      <c r="D11" s="3" t="s">
        <v>30</v>
      </c>
      <c r="E11" s="1">
        <v>8</v>
      </c>
      <c r="G11" s="2">
        <v>46367</v>
      </c>
      <c r="H11" s="3" t="s">
        <v>12</v>
      </c>
      <c r="I11" s="3" t="s">
        <v>24</v>
      </c>
      <c r="J11" s="3" t="s">
        <v>22</v>
      </c>
      <c r="K11" s="1">
        <v>-250</v>
      </c>
    </row>
    <row r="12" spans="1:11" x14ac:dyDescent="0.25">
      <c r="G12" s="2">
        <v>46370</v>
      </c>
      <c r="H12" s="3" t="s">
        <v>12</v>
      </c>
      <c r="I12" s="3" t="s">
        <v>21</v>
      </c>
      <c r="J12" s="3" t="s">
        <v>19</v>
      </c>
      <c r="K12" s="1">
        <v>-123</v>
      </c>
    </row>
    <row r="13" spans="1:11" x14ac:dyDescent="0.25">
      <c r="G13" s="2">
        <v>46381</v>
      </c>
      <c r="H13" s="3" t="s">
        <v>12</v>
      </c>
      <c r="I13" s="3" t="s">
        <v>26</v>
      </c>
      <c r="J13" s="3" t="s">
        <v>25</v>
      </c>
      <c r="K13" s="1">
        <v>-1330</v>
      </c>
    </row>
  </sheetData>
  <mergeCells count="3">
    <mergeCell ref="A6:E6"/>
    <mergeCell ref="G6:K6"/>
    <mergeCell ref="A1:K1"/>
  </mergeCells>
  <pageMargins left="0.25" right="0.25" top="0.75" bottom="0.75" header="0.3" footer="0.3"/>
  <pageSetup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19475E-2EBD-42F1-9C35-A2061A9E57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October 2026</vt:lpstr>
      <vt:lpstr>November 2026</vt:lpstr>
      <vt:lpstr>December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 Prescott</dc:creator>
  <cp:lastModifiedBy>Holiday724,Dayne</cp:lastModifiedBy>
  <dcterms:created xsi:type="dcterms:W3CDTF">2019-03-11T18:14:13Z</dcterms:created>
  <dcterms:modified xsi:type="dcterms:W3CDTF">2026-10-26T01:37:01Z</dcterms:modified>
</cp:coreProperties>
</file>